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ykhz0\Desktop\"/>
    </mc:Choice>
  </mc:AlternateContent>
  <xr:revisionPtr revIDLastSave="0" documentId="13_ncr:1_{10E53262-39EE-4442-BD4B-65BA36E7D2C1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Лист1" sheetId="1" r:id="rId1"/>
    <sheet name="Лист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2" l="1"/>
  <c r="AJ12" i="2"/>
  <c r="C4" i="2"/>
  <c r="AI15" i="2" s="1"/>
  <c r="H15" i="2" l="1"/>
  <c r="L15" i="2"/>
  <c r="P15" i="2"/>
  <c r="C5" i="2"/>
  <c r="AG14" i="2" s="1"/>
  <c r="F12" i="2"/>
  <c r="G15" i="2" s="1"/>
  <c r="T15" i="2"/>
  <c r="X15" i="2"/>
  <c r="AB15" i="2"/>
  <c r="AF15" i="2"/>
  <c r="G11" i="2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J11" i="2" s="1"/>
  <c r="I15" i="2"/>
  <c r="M15" i="2"/>
  <c r="Q15" i="2"/>
  <c r="U15" i="2"/>
  <c r="Y15" i="2"/>
  <c r="AC15" i="2"/>
  <c r="AG15" i="2"/>
  <c r="J15" i="2"/>
  <c r="N15" i="2"/>
  <c r="R15" i="2"/>
  <c r="V15" i="2"/>
  <c r="Z15" i="2"/>
  <c r="AD15" i="2"/>
  <c r="AH15" i="2"/>
  <c r="AC14" i="2"/>
  <c r="K15" i="2"/>
  <c r="O15" i="2"/>
  <c r="S15" i="2"/>
  <c r="W15" i="2"/>
  <c r="AA15" i="2"/>
  <c r="AE15" i="2"/>
  <c r="N14" i="2" l="1"/>
  <c r="AF14" i="2"/>
  <c r="O14" i="2"/>
  <c r="V14" i="2"/>
  <c r="M14" i="2"/>
  <c r="P14" i="2"/>
  <c r="Q14" i="2"/>
  <c r="T14" i="2"/>
  <c r="Z14" i="2"/>
  <c r="R14" i="2"/>
  <c r="AE14" i="2"/>
  <c r="Y14" i="2"/>
  <c r="I14" i="2"/>
  <c r="AB14" i="2"/>
  <c r="L14" i="2"/>
  <c r="AA14" i="2"/>
  <c r="K14" i="2"/>
  <c r="J14" i="2"/>
  <c r="U14" i="2"/>
  <c r="AH14" i="2"/>
  <c r="X14" i="2"/>
  <c r="H14" i="2"/>
  <c r="W14" i="2"/>
  <c r="G14" i="2"/>
  <c r="AI14" i="2"/>
  <c r="S14" i="2"/>
  <c r="AD14" i="2"/>
  <c r="AI14" i="1" l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AJ12" i="1"/>
  <c r="F12" i="1"/>
  <c r="H11" i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G11" i="1"/>
  <c r="C5" i="1"/>
  <c r="C4" i="1"/>
  <c r="G14" i="1" l="1"/>
</calcChain>
</file>

<file path=xl/sharedStrings.xml><?xml version="1.0" encoding="utf-8"?>
<sst xmlns="http://schemas.openxmlformats.org/spreadsheetml/2006/main" count="25" uniqueCount="12">
  <si>
    <t>L</t>
  </si>
  <si>
    <t>dx</t>
  </si>
  <si>
    <t>dt</t>
  </si>
  <si>
    <t>t</t>
  </si>
  <si>
    <t>Cp</t>
  </si>
  <si>
    <t>ro</t>
  </si>
  <si>
    <t>lambda</t>
  </si>
  <si>
    <t>T_start</t>
  </si>
  <si>
    <t>T_end</t>
  </si>
  <si>
    <t>T</t>
  </si>
  <si>
    <t>T_iter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</si>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</sst>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49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Лист1!$F$11:$AJ$11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293.28624346693624</c:v>
                </c:pt>
                <c:pt idx="2">
                  <c:v>286.57351596044163</c:v>
                </c:pt>
                <c:pt idx="3">
                  <c:v>279.86078845394701</c:v>
                </c:pt>
                <c:pt idx="4">
                  <c:v>273.15110305375981</c:v>
                </c:pt>
                <c:pt idx="5">
                  <c:v>266.44141765357256</c:v>
                </c:pt>
                <c:pt idx="6">
                  <c:v>259.73665448478408</c:v>
                </c:pt>
                <c:pt idx="7">
                  <c:v>253.03189131599561</c:v>
                </c:pt>
                <c:pt idx="8">
                  <c:v>246.33371537856041</c:v>
                </c:pt>
                <c:pt idx="9">
                  <c:v>239.63553944112522</c:v>
                </c:pt>
                <c:pt idx="10">
                  <c:v>232.9453278413726</c:v>
                </c:pt>
                <c:pt idx="11">
                  <c:v>226.25511624161999</c:v>
                </c:pt>
                <c:pt idx="12">
                  <c:v>219.57389800609968</c:v>
                </c:pt>
                <c:pt idx="13">
                  <c:v>212.89267977057938</c:v>
                </c:pt>
                <c:pt idx="14">
                  <c:v>206.22109087266466</c:v>
                </c:pt>
                <c:pt idx="15">
                  <c:v>199.54950197474994</c:v>
                </c:pt>
                <c:pt idx="16">
                  <c:v>192.88775753955161</c:v>
                </c:pt>
                <c:pt idx="17">
                  <c:v>186.22601310435331</c:v>
                </c:pt>
                <c:pt idx="18">
                  <c:v>179.57389800672252</c:v>
                </c:pt>
                <c:pt idx="19">
                  <c:v>172.92178290909169</c:v>
                </c:pt>
                <c:pt idx="20">
                  <c:v>166.2786611756236</c:v>
                </c:pt>
                <c:pt idx="21">
                  <c:v>159.6355394421555</c:v>
                </c:pt>
                <c:pt idx="22">
                  <c:v>153.00038204628092</c:v>
                </c:pt>
                <c:pt idx="23">
                  <c:v>146.36522465040633</c:v>
                </c:pt>
                <c:pt idx="24">
                  <c:v>139.73665448579186</c:v>
                </c:pt>
                <c:pt idx="25">
                  <c:v>133.10808432117742</c:v>
                </c:pt>
                <c:pt idx="26">
                  <c:v>126.48443638788059</c:v>
                </c:pt>
                <c:pt idx="27">
                  <c:v>119.86078845458377</c:v>
                </c:pt>
                <c:pt idx="28">
                  <c:v>113.24018262753927</c:v>
                </c:pt>
                <c:pt idx="29">
                  <c:v>106.61957680049478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89-49F4-8EB0-17C1C7A78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709544"/>
        <c:axId val="391709872"/>
      </c:scatterChart>
      <c:valAx>
        <c:axId val="3917095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709872"/>
        <c:crosses val="autoZero"/>
        <c:crossBetween val="midCat"/>
      </c:valAx>
      <c:valAx>
        <c:axId val="3917098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709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49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Лист2!$F$11:$AJ$11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Лист2!$F$12:$AJ$12</c:f>
              <c:numCache>
                <c:formatCode>General</c:formatCode>
                <c:ptCount val="31"/>
                <c:pt idx="0">
                  <c:v>299.99998838365582</c:v>
                </c:pt>
                <c:pt idx="1">
                  <c:v>293.33332171698913</c:v>
                </c:pt>
                <c:pt idx="2">
                  <c:v>286.66665508325025</c:v>
                </c:pt>
                <c:pt idx="3">
                  <c:v>279.99998848234577</c:v>
                </c:pt>
                <c:pt idx="4">
                  <c:v>273.33332191408937</c:v>
                </c:pt>
                <c:pt idx="5">
                  <c:v>266.66665537820211</c:v>
                </c:pt>
                <c:pt idx="6">
                  <c:v>259.99998887431309</c:v>
                </c:pt>
                <c:pt idx="7">
                  <c:v>253.33332240196125</c:v>
                </c:pt>
                <c:pt idx="8">
                  <c:v>246.66665596059539</c:v>
                </c:pt>
                <c:pt idx="9">
                  <c:v>239.99998954957718</c:v>
                </c:pt>
                <c:pt idx="10">
                  <c:v>233.33332316818172</c:v>
                </c:pt>
                <c:pt idx="11">
                  <c:v>226.66665681560056</c:v>
                </c:pt>
                <c:pt idx="12">
                  <c:v>219.99999049094328</c:v>
                </c:pt>
                <c:pt idx="13">
                  <c:v>213.33332419324049</c:v>
                </c:pt>
                <c:pt idx="14">
                  <c:v>206.66665792144624</c:v>
                </c:pt>
                <c:pt idx="15">
                  <c:v>199.9999916744413</c:v>
                </c:pt>
                <c:pt idx="16">
                  <c:v>193.33332545103605</c:v>
                </c:pt>
                <c:pt idx="17">
                  <c:v>186.66665924997403</c:v>
                </c:pt>
                <c:pt idx="18">
                  <c:v>179.99999306993547</c:v>
                </c:pt>
                <c:pt idx="19">
                  <c:v>173.33332690954086</c:v>
                </c:pt>
                <c:pt idx="20">
                  <c:v>166.66666076735527</c:v>
                </c:pt>
                <c:pt idx="21">
                  <c:v>159.99999464189187</c:v>
                </c:pt>
                <c:pt idx="22">
                  <c:v>153.33332853161659</c:v>
                </c:pt>
                <c:pt idx="23">
                  <c:v>146.66666243495234</c:v>
                </c:pt>
                <c:pt idx="24">
                  <c:v>139.99999635028331</c:v>
                </c:pt>
                <c:pt idx="25">
                  <c:v>133.33333027595984</c:v>
                </c:pt>
                <c:pt idx="26">
                  <c:v>126.66666421030278</c:v>
                </c:pt>
                <c:pt idx="27">
                  <c:v>119.99999815160858</c:v>
                </c:pt>
                <c:pt idx="28">
                  <c:v>113.33333209815386</c:v>
                </c:pt>
                <c:pt idx="29">
                  <c:v>106.66666604820037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83-46D1-8442-A98A8C0A0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46320"/>
        <c:axId val="505042712"/>
      </c:scatterChart>
      <c:valAx>
        <c:axId val="5050463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042712"/>
        <c:crosses val="autoZero"/>
        <c:crossBetween val="midCat"/>
      </c:valAx>
      <c:valAx>
        <c:axId val="505042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046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175260</xdr:colOff>
      <xdr:row>17</xdr:row>
      <xdr:rowOff>83820</xdr:rowOff>
    </xdr:from>
    <xdr:to>
      <xdr:col>18</xdr:col>
      <xdr:colOff>236220</xdr:colOff>
      <xdr:row>39</xdr:row>
      <xdr:rowOff>91440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9B2BCD1-CBDF-47AD-B150-87ED6C302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17</xdr:col>
      <xdr:colOff>114300</xdr:colOff>
      <xdr:row>37</xdr:row>
      <xdr:rowOff>144780</xdr:rowOff>
    </xdr:from>
    <xdr:ext cx="61722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EBC55A69-DA22-4643-987F-9966171FF659}"/>
                </a:ext>
              </a:extLst>
            </xdr:cNvPr>
            <xdr:cNvSpPr txBox="1"/>
          </xdr:nvSpPr>
          <xdr:spPr>
            <a:xfrm>
              <a:off x="8001000" y="6911340"/>
              <a:ext cx="617220" cy="21916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400" b="1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ea typeface="+mn-ea"/>
                  <a:cs typeface="+mn-cs"/>
                </a:rPr>
                <a:t>L </a:t>
              </a:r>
              <a14:m>
                <m:oMath xmlns:m="http://schemas.openxmlformats.org/officeDocument/2006/math">
                  <m:r>
                    <a:rPr kumimoji="0" lang="en-US" sz="1400" b="1" i="1" u="none" strike="noStrike" kern="0" cap="none" spc="0" normalizeH="0" baseline="0" noProof="0" smtClean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d>
                    <m:dPr>
                      <m:begChr m:val="["/>
                      <m:endChr m:val="]"/>
                      <m:ctrlPr>
                        <a:rPr kumimoji="0" lang="en-US" sz="1400" b="1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1400" b="1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𝒎</m:t>
                      </m:r>
                    </m:e>
                  </m:d>
                </m:oMath>
              </a14:m>
              <a:endParaRPr kumimoji="0" lang="ru-RU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EBC55A69-DA22-4643-987F-9966171FF659}"/>
                </a:ext>
              </a:extLst>
            </xdr:cNvPr>
            <xdr:cNvSpPr txBox="1"/>
          </xdr:nvSpPr>
          <xdr:spPr>
            <a:xfrm>
              <a:off x="8001000" y="6911340"/>
              <a:ext cx="617220" cy="21916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400" b="1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ea typeface="+mn-ea"/>
                  <a:cs typeface="+mn-cs"/>
                </a:rPr>
                <a:t>L </a:t>
              </a:r>
              <a:r>
                <a:rPr kumimoji="0" lang="en-US" sz="14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,[𝒎]</a:t>
              </a:r>
              <a:endParaRPr kumimoji="0" lang="ru-RU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7</xdr:col>
      <xdr:colOff>152400</xdr:colOff>
      <xdr:row>17</xdr:row>
      <xdr:rowOff>133350</xdr:rowOff>
    </xdr:from>
    <xdr:ext cx="61722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3E009F-CC34-4822-882B-9B6510E5F448}"/>
                </a:ext>
              </a:extLst>
            </xdr:cNvPr>
            <xdr:cNvSpPr txBox="1"/>
          </xdr:nvSpPr>
          <xdr:spPr>
            <a:xfrm>
              <a:off x="3848100" y="3242310"/>
              <a:ext cx="61722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3E009F-CC34-4822-882B-9B6510E5F448}"/>
                </a:ext>
              </a:extLst>
            </xdr:cNvPr>
            <xdr:cNvSpPr txBox="1"/>
          </xdr:nvSpPr>
          <xdr:spPr>
            <a:xfrm>
              <a:off x="3848100" y="3242310"/>
              <a:ext cx="61722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</xdr:colOff>
      <xdr:row>17</xdr:row>
      <xdr:rowOff>41910</xdr:rowOff>
    </xdr:from>
    <xdr:to>
      <xdr:col>13</xdr:col>
      <xdr:colOff>541020</xdr:colOff>
      <xdr:row>37</xdr:row>
      <xdr:rowOff>175260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8EF774BB-A48F-4985-827E-22C97D964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45720</xdr:colOff>
      <xdr:row>17</xdr:row>
      <xdr:rowOff>83820</xdr:rowOff>
    </xdr:from>
    <xdr:ext cx="61722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F0E030D-BD5D-40B0-B4E0-E3C6A0D76E65}"/>
                </a:ext>
              </a:extLst>
            </xdr:cNvPr>
            <xdr:cNvSpPr txBox="1"/>
          </xdr:nvSpPr>
          <xdr:spPr>
            <a:xfrm>
              <a:off x="3093720" y="3192780"/>
              <a:ext cx="61722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F0E030D-BD5D-40B0-B4E0-E3C6A0D76E65}"/>
                </a:ext>
              </a:extLst>
            </xdr:cNvPr>
            <xdr:cNvSpPr txBox="1"/>
          </xdr:nvSpPr>
          <xdr:spPr>
            <a:xfrm>
              <a:off x="3093720" y="3192780"/>
              <a:ext cx="61722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oneCellAnchor>
    <xdr:from>
      <xdr:col>12</xdr:col>
      <xdr:colOff>563880</xdr:colOff>
      <xdr:row>36</xdr:row>
      <xdr:rowOff>53340</xdr:rowOff>
    </xdr:from>
    <xdr:ext cx="61722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47D610C-202A-4109-876E-91FB77FCC3DD}"/>
                </a:ext>
              </a:extLst>
            </xdr:cNvPr>
            <xdr:cNvSpPr txBox="1"/>
          </xdr:nvSpPr>
          <xdr:spPr>
            <a:xfrm>
              <a:off x="7879080" y="6637020"/>
              <a:ext cx="617220" cy="21916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400" b="1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ea typeface="+mn-ea"/>
                  <a:cs typeface="+mn-cs"/>
                </a:rPr>
                <a:t>L </a:t>
              </a:r>
              <a14:m>
                <m:oMath xmlns:m="http://schemas.openxmlformats.org/officeDocument/2006/math">
                  <m:r>
                    <a:rPr kumimoji="0" lang="en-US" sz="1400" b="1" i="1" u="none" strike="noStrike" kern="0" cap="none" spc="0" normalizeH="0" baseline="0" noProof="0" smtClean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d>
                    <m:dPr>
                      <m:begChr m:val="["/>
                      <m:endChr m:val="]"/>
                      <m:ctrlPr>
                        <a:rPr kumimoji="0" lang="en-US" sz="1400" b="1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kumimoji="0" lang="en-US" sz="1400" b="1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𝒎</m:t>
                      </m:r>
                    </m:e>
                  </m:d>
                </m:oMath>
              </a14:m>
              <a:endParaRPr kumimoji="0" lang="ru-RU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47D610C-202A-4109-876E-91FB77FCC3DD}"/>
                </a:ext>
              </a:extLst>
            </xdr:cNvPr>
            <xdr:cNvSpPr txBox="1"/>
          </xdr:nvSpPr>
          <xdr:spPr>
            <a:xfrm>
              <a:off x="7879080" y="6637020"/>
              <a:ext cx="617220" cy="21916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400" b="1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ea typeface="+mn-ea"/>
                  <a:cs typeface="+mn-cs"/>
                </a:rPr>
                <a:t>L </a:t>
              </a:r>
              <a:r>
                <a:rPr kumimoji="0" lang="en-US" sz="14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,[𝒎]</a:t>
              </a:r>
              <a:endParaRPr kumimoji="0" lang="ru-RU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14"/>
  <sheetViews>
    <sheetView workbookViewId="0">
      <selection activeCell="F10" sqref="F10"/>
    </sheetView>
  </sheetViews>
  <sheetFormatPr defaultRowHeight="14.4" x14ac:dyDescent="0.3"/>
  <cols>
    <col min="5" max="36" width="6.109375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1">
        <f>C3/30</f>
        <v>3.3333333333333335E-3</v>
      </c>
    </row>
    <row r="5" spans="2:36" x14ac:dyDescent="0.3">
      <c r="B5" s="1" t="s">
        <v>2</v>
      </c>
      <c r="C5" s="1">
        <f>(C9*C8*C4^2)/(2*C10)</f>
        <v>0.4333333333333334</v>
      </c>
    </row>
    <row r="6" spans="2:36" x14ac:dyDescent="0.3">
      <c r="B6" s="1" t="s">
        <v>3</v>
      </c>
      <c r="C6" s="1">
        <v>500</v>
      </c>
      <c r="D6">
        <v>500.06666666666672</v>
      </c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2:36" x14ac:dyDescent="0.3">
      <c r="E11" t="s">
        <v>0</v>
      </c>
      <c r="F11" s="1">
        <v>0</v>
      </c>
      <c r="G11" s="1">
        <f>F11+$C$4</f>
        <v>3.3333333333333335E-3</v>
      </c>
      <c r="H11" s="1">
        <f t="shared" ref="H11:AJ11" si="0">G11+$C$4</f>
        <v>6.6666666666666671E-3</v>
      </c>
      <c r="I11" s="1">
        <f t="shared" si="0"/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 x14ac:dyDescent="0.3">
      <c r="B12" s="1" t="s">
        <v>7</v>
      </c>
      <c r="C12" s="1">
        <v>300</v>
      </c>
      <c r="E12" t="s">
        <v>9</v>
      </c>
      <c r="F12">
        <f>C12</f>
        <v>300</v>
      </c>
      <c r="G12">
        <v>293.28624346693624</v>
      </c>
      <c r="H12">
        <v>286.57351596044163</v>
      </c>
      <c r="I12">
        <v>279.86078845394701</v>
      </c>
      <c r="J12">
        <v>273.15110305375981</v>
      </c>
      <c r="K12">
        <v>266.44141765357256</v>
      </c>
      <c r="L12">
        <v>259.73665448478408</v>
      </c>
      <c r="M12">
        <v>253.03189131599561</v>
      </c>
      <c r="N12">
        <v>246.33371537856041</v>
      </c>
      <c r="O12">
        <v>239.63553944112522</v>
      </c>
      <c r="P12">
        <v>232.9453278413726</v>
      </c>
      <c r="Q12">
        <v>226.25511624161999</v>
      </c>
      <c r="R12">
        <v>219.57389800609968</v>
      </c>
      <c r="S12">
        <v>212.89267977057938</v>
      </c>
      <c r="T12">
        <v>206.22109087266466</v>
      </c>
      <c r="U12">
        <v>199.54950197474994</v>
      </c>
      <c r="V12">
        <v>192.88775753955161</v>
      </c>
      <c r="W12">
        <v>186.22601310435331</v>
      </c>
      <c r="X12">
        <v>179.57389800672252</v>
      </c>
      <c r="Y12">
        <v>172.92178290909169</v>
      </c>
      <c r="Z12">
        <v>166.2786611756236</v>
      </c>
      <c r="AA12">
        <v>159.6355394421555</v>
      </c>
      <c r="AB12">
        <v>153.00038204628092</v>
      </c>
      <c r="AC12">
        <v>146.36522465040633</v>
      </c>
      <c r="AD12">
        <v>139.73665448579186</v>
      </c>
      <c r="AE12">
        <v>133.10808432117742</v>
      </c>
      <c r="AF12">
        <v>126.48443638788059</v>
      </c>
      <c r="AG12">
        <v>119.86078845458377</v>
      </c>
      <c r="AH12">
        <v>113.24018262753927</v>
      </c>
      <c r="AI12">
        <v>106.61957680049478</v>
      </c>
      <c r="AJ12">
        <f>C13</f>
        <v>100</v>
      </c>
    </row>
    <row r="13" spans="2:36" x14ac:dyDescent="0.3">
      <c r="B13" s="1" t="s">
        <v>8</v>
      </c>
      <c r="C13" s="1">
        <v>100</v>
      </c>
    </row>
    <row r="14" spans="2:36" x14ac:dyDescent="0.3">
      <c r="E14" t="s">
        <v>10</v>
      </c>
      <c r="G14">
        <f>G12+(($C$10*$C$5)/($C$9*$C$8))*((H12-2*G12+F12)/($C$4^2))</f>
        <v>293.28675798022084</v>
      </c>
      <c r="H14">
        <f t="shared" ref="H14:AI14" si="1">H12+(($C$10*$C$5)/($C$9*$C$8))*((I12-2*H12+G12)/($C$4^2))</f>
        <v>286.57351596044163</v>
      </c>
      <c r="I14">
        <f t="shared" si="1"/>
        <v>279.86230950710069</v>
      </c>
      <c r="J14">
        <f t="shared" si="1"/>
        <v>273.15110305375981</v>
      </c>
      <c r="K14">
        <f t="shared" si="1"/>
        <v>266.44387876927192</v>
      </c>
      <c r="L14">
        <f t="shared" si="1"/>
        <v>259.73665448478408</v>
      </c>
      <c r="M14">
        <f t="shared" si="1"/>
        <v>253.03518493167226</v>
      </c>
      <c r="N14">
        <f t="shared" si="1"/>
        <v>246.33371537856041</v>
      </c>
      <c r="O14">
        <f t="shared" si="1"/>
        <v>239.63952160996649</v>
      </c>
      <c r="P14">
        <f t="shared" si="1"/>
        <v>232.9453278413726</v>
      </c>
      <c r="Q14">
        <f t="shared" si="1"/>
        <v>226.25961292373614</v>
      </c>
      <c r="R14">
        <f t="shared" si="1"/>
        <v>219.57389800609968</v>
      </c>
      <c r="S14">
        <f t="shared" si="1"/>
        <v>212.89749443938217</v>
      </c>
      <c r="T14">
        <f t="shared" si="1"/>
        <v>206.22109087266466</v>
      </c>
      <c r="U14">
        <f t="shared" si="1"/>
        <v>199.55442420610814</v>
      </c>
      <c r="V14">
        <f t="shared" si="1"/>
        <v>192.88775753955161</v>
      </c>
      <c r="W14">
        <f t="shared" si="1"/>
        <v>186.23082777313707</v>
      </c>
      <c r="X14">
        <f t="shared" si="1"/>
        <v>179.57389800672252</v>
      </c>
      <c r="Y14">
        <f t="shared" si="1"/>
        <v>172.92627959117306</v>
      </c>
      <c r="Z14">
        <f t="shared" si="1"/>
        <v>166.2786611756236</v>
      </c>
      <c r="AA14">
        <f t="shared" si="1"/>
        <v>159.63952161095227</v>
      </c>
      <c r="AB14">
        <f t="shared" si="1"/>
        <v>153.00038204628092</v>
      </c>
      <c r="AC14">
        <f t="shared" si="1"/>
        <v>146.3685182660364</v>
      </c>
      <c r="AD14">
        <f t="shared" si="1"/>
        <v>139.73665448579186</v>
      </c>
      <c r="AE14">
        <f t="shared" si="1"/>
        <v>133.11054543683622</v>
      </c>
      <c r="AF14">
        <f t="shared" si="1"/>
        <v>126.48443638788059</v>
      </c>
      <c r="AG14">
        <f t="shared" si="1"/>
        <v>119.86230950770994</v>
      </c>
      <c r="AH14">
        <f t="shared" si="1"/>
        <v>113.24018262753927</v>
      </c>
      <c r="AI14">
        <f t="shared" si="1"/>
        <v>106.62009131376963</v>
      </c>
    </row>
  </sheetData>
  <conditionalFormatting sqref="F12:AJ12">
    <cfRule type="colorScale" priority="1">
      <colorScale>
        <cfvo type="min"/>
        <cfvo type="percentile" val="50"/>
        <cfvo type="max"/>
        <color theme="4" tint="-0.249977111117893"/>
        <color theme="7" tint="0.39997558519241921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336C6-8EDC-47A2-BC11-4448F4D8434B}">
  <sheetPr codeName="Лист2"/>
  <dimension ref="B3:AJ15"/>
  <sheetViews>
    <sheetView tabSelected="1" topLeftCell="C1" workbookViewId="0">
      <selection activeCell="V21" sqref="V21"/>
    </sheetView>
  </sheetViews>
  <sheetFormatPr defaultRowHeight="14.4" x14ac:dyDescent="0.3"/>
  <cols>
    <col min="5" max="36" width="6.109375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1">
        <f>C3/30</f>
        <v>3.3333333333333335E-3</v>
      </c>
    </row>
    <row r="5" spans="2:36" x14ac:dyDescent="0.3">
      <c r="B5" s="1" t="s">
        <v>2</v>
      </c>
      <c r="C5" s="1">
        <f>(C9*C8*C4^2)/(2*C10)</f>
        <v>0.4333333333333334</v>
      </c>
    </row>
    <row r="6" spans="2:36" x14ac:dyDescent="0.3">
      <c r="B6" s="1" t="s">
        <v>3</v>
      </c>
      <c r="C6" s="1">
        <v>5000</v>
      </c>
      <c r="D6">
        <v>5000.2333333333345</v>
      </c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2:36" x14ac:dyDescent="0.3">
      <c r="E11" s="1" t="s">
        <v>0</v>
      </c>
      <c r="F11" s="1">
        <v>0</v>
      </c>
      <c r="G11" s="1">
        <f>F11+$C$4</f>
        <v>3.3333333333333335E-3</v>
      </c>
      <c r="H11" s="1">
        <f t="shared" ref="H11:AJ11" si="0">G11+$C$4</f>
        <v>6.6666666666666671E-3</v>
      </c>
      <c r="I11" s="1">
        <f t="shared" si="0"/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 x14ac:dyDescent="0.3">
      <c r="B12" t="s">
        <v>7</v>
      </c>
      <c r="C12">
        <v>92000</v>
      </c>
      <c r="E12" s="1" t="s">
        <v>9</v>
      </c>
      <c r="F12" s="1">
        <f>(F15/C10)*C4+G12</f>
        <v>299.99998838365582</v>
      </c>
      <c r="G12" s="1">
        <v>293.33332171698913</v>
      </c>
      <c r="H12" s="1">
        <v>286.66665508325025</v>
      </c>
      <c r="I12" s="1">
        <v>279.99998848234577</v>
      </c>
      <c r="J12" s="1">
        <v>273.33332191408937</v>
      </c>
      <c r="K12" s="1">
        <v>266.66665537820211</v>
      </c>
      <c r="L12" s="1">
        <v>259.99998887431309</v>
      </c>
      <c r="M12" s="1">
        <v>253.33332240196125</v>
      </c>
      <c r="N12" s="1">
        <v>246.66665596059539</v>
      </c>
      <c r="O12" s="1">
        <v>239.99998954957718</v>
      </c>
      <c r="P12" s="1">
        <v>233.33332316818172</v>
      </c>
      <c r="Q12" s="1">
        <v>226.66665681560056</v>
      </c>
      <c r="R12" s="1">
        <v>219.99999049094328</v>
      </c>
      <c r="S12" s="1">
        <v>213.33332419324049</v>
      </c>
      <c r="T12" s="1">
        <v>206.66665792144624</v>
      </c>
      <c r="U12" s="1">
        <v>199.9999916744413</v>
      </c>
      <c r="V12" s="1">
        <v>193.33332545103605</v>
      </c>
      <c r="W12" s="1">
        <v>186.66665924997403</v>
      </c>
      <c r="X12" s="1">
        <v>179.99999306993547</v>
      </c>
      <c r="Y12" s="1">
        <v>173.33332690954086</v>
      </c>
      <c r="Z12" s="1">
        <v>166.66666076735527</v>
      </c>
      <c r="AA12" s="1">
        <v>159.99999464189187</v>
      </c>
      <c r="AB12" s="1">
        <v>153.33332853161659</v>
      </c>
      <c r="AC12" s="1">
        <v>146.66666243495234</v>
      </c>
      <c r="AD12" s="1">
        <v>139.99999635028331</v>
      </c>
      <c r="AE12" s="1">
        <v>133.33333027595984</v>
      </c>
      <c r="AF12" s="1">
        <v>126.66666421030278</v>
      </c>
      <c r="AG12" s="1">
        <v>119.99999815160858</v>
      </c>
      <c r="AH12" s="1">
        <v>113.33333209815386</v>
      </c>
      <c r="AI12" s="1">
        <v>106.66666604820037</v>
      </c>
      <c r="AJ12" s="1">
        <f>C13</f>
        <v>100</v>
      </c>
    </row>
    <row r="13" spans="2:36" x14ac:dyDescent="0.3">
      <c r="B13" t="s">
        <v>8</v>
      </c>
      <c r="C13">
        <v>100</v>
      </c>
    </row>
    <row r="14" spans="2:36" x14ac:dyDescent="0.3">
      <c r="E14" t="s">
        <v>10</v>
      </c>
      <c r="G14">
        <f>G12+(($C$10*$C$5)/($C$9*$C$8))*((H12-2*G12+F12)/($C$4^2))</f>
        <v>293.33332173345303</v>
      </c>
      <c r="H14">
        <f t="shared" ref="H14:AI14" si="1">H12+(($C$10*$C$5)/($C$9*$C$8))*((I12-2*H12+G12)/($C$4^2))</f>
        <v>286.66665509966742</v>
      </c>
      <c r="I14">
        <f t="shared" si="1"/>
        <v>279.99998849866984</v>
      </c>
      <c r="J14">
        <f t="shared" si="1"/>
        <v>273.33332193027394</v>
      </c>
      <c r="K14">
        <f t="shared" si="1"/>
        <v>266.66665539420126</v>
      </c>
      <c r="L14">
        <f t="shared" si="1"/>
        <v>259.99998889008168</v>
      </c>
      <c r="M14">
        <f t="shared" si="1"/>
        <v>253.33332241745424</v>
      </c>
      <c r="N14">
        <f t="shared" si="1"/>
        <v>246.66665597576923</v>
      </c>
      <c r="O14">
        <f t="shared" si="1"/>
        <v>239.99998956438856</v>
      </c>
      <c r="P14">
        <f t="shared" si="1"/>
        <v>233.33332318258886</v>
      </c>
      <c r="Q14">
        <f t="shared" si="1"/>
        <v>226.6666568295625</v>
      </c>
      <c r="R14">
        <f t="shared" si="1"/>
        <v>219.99999050442051</v>
      </c>
      <c r="S14">
        <f t="shared" si="1"/>
        <v>213.33332420619476</v>
      </c>
      <c r="T14">
        <f t="shared" si="1"/>
        <v>206.6666579338409</v>
      </c>
      <c r="U14">
        <f t="shared" si="1"/>
        <v>199.99999168624115</v>
      </c>
      <c r="V14">
        <f t="shared" si="1"/>
        <v>193.33332546220765</v>
      </c>
      <c r="W14">
        <f t="shared" si="1"/>
        <v>186.66665926048574</v>
      </c>
      <c r="X14">
        <f t="shared" si="1"/>
        <v>179.99999307975745</v>
      </c>
      <c r="Y14">
        <f t="shared" si="1"/>
        <v>173.33332691864535</v>
      </c>
      <c r="Z14">
        <f t="shared" si="1"/>
        <v>166.66666077571637</v>
      </c>
      <c r="AA14">
        <f t="shared" si="1"/>
        <v>159.99999464948593</v>
      </c>
      <c r="AB14">
        <f t="shared" si="1"/>
        <v>153.33332853842211</v>
      </c>
      <c r="AC14">
        <f t="shared" si="1"/>
        <v>146.66666244094995</v>
      </c>
      <c r="AD14">
        <f t="shared" si="1"/>
        <v>139.99999635545609</v>
      </c>
      <c r="AE14">
        <f t="shared" si="1"/>
        <v>133.33333028029304</v>
      </c>
      <c r="AF14">
        <f t="shared" si="1"/>
        <v>126.66666421378422</v>
      </c>
      <c r="AG14">
        <f t="shared" si="1"/>
        <v>119.99999815422832</v>
      </c>
      <c r="AH14">
        <f t="shared" si="1"/>
        <v>113.33333209990448</v>
      </c>
      <c r="AI14">
        <f t="shared" si="1"/>
        <v>106.66666604907692</v>
      </c>
    </row>
    <row r="15" spans="2:36" x14ac:dyDescent="0.3">
      <c r="E15" t="s">
        <v>11</v>
      </c>
      <c r="F15">
        <f>C12</f>
        <v>92000</v>
      </c>
      <c r="G15">
        <f>-$C$10*((G12-F12)/$C$4)</f>
        <v>92000.000000000247</v>
      </c>
      <c r="H15">
        <f>-$C$10*((H12-G12)/$C$4)</f>
        <v>91999.999545596598</v>
      </c>
      <c r="I15">
        <f t="shared" ref="I15:AI15" si="2">-$C$10*((I12-H12)/$C$4)</f>
        <v>91999.999092481783</v>
      </c>
      <c r="J15">
        <f t="shared" si="2"/>
        <v>91999.998641938349</v>
      </c>
      <c r="K15">
        <f t="shared" si="2"/>
        <v>91999.998195244174</v>
      </c>
      <c r="L15">
        <f t="shared" si="2"/>
        <v>91999.997753668446</v>
      </c>
      <c r="M15">
        <f t="shared" si="2"/>
        <v>91999.997318455309</v>
      </c>
      <c r="N15">
        <f t="shared" si="2"/>
        <v>91999.996890848895</v>
      </c>
      <c r="O15">
        <f t="shared" si="2"/>
        <v>91999.996472051324</v>
      </c>
      <c r="P15">
        <f t="shared" si="2"/>
        <v>91999.99606325732</v>
      </c>
      <c r="Q15">
        <f t="shared" si="2"/>
        <v>91999.995665619994</v>
      </c>
      <c r="R15">
        <f t="shared" si="2"/>
        <v>91999.995280270523</v>
      </c>
      <c r="S15">
        <f t="shared" si="2"/>
        <v>91999.994908298497</v>
      </c>
      <c r="T15">
        <f t="shared" si="2"/>
        <v>91999.99455076053</v>
      </c>
      <c r="U15">
        <f t="shared" si="2"/>
        <v>91999.994208668169</v>
      </c>
      <c r="V15">
        <f t="shared" si="2"/>
        <v>91999.993882992552</v>
      </c>
      <c r="W15">
        <f t="shared" si="2"/>
        <v>91999.993574655789</v>
      </c>
      <c r="X15">
        <f t="shared" si="2"/>
        <v>91999.993284532145</v>
      </c>
      <c r="Y15">
        <f t="shared" si="2"/>
        <v>91999.993013445652</v>
      </c>
      <c r="Z15">
        <f t="shared" si="2"/>
        <v>91999.992762161142</v>
      </c>
      <c r="AA15">
        <f t="shared" si="2"/>
        <v>91999.992531394819</v>
      </c>
      <c r="AB15">
        <f t="shared" si="2"/>
        <v>91999.992321798942</v>
      </c>
      <c r="AC15">
        <f t="shared" si="2"/>
        <v>91999.99213396656</v>
      </c>
      <c r="AD15">
        <f t="shared" si="2"/>
        <v>91999.991968432631</v>
      </c>
      <c r="AE15">
        <f t="shared" si="2"/>
        <v>91999.991825663921</v>
      </c>
      <c r="AF15">
        <f t="shared" si="2"/>
        <v>91999.991706067347</v>
      </c>
      <c r="AG15">
        <f t="shared" si="2"/>
        <v>91999.991609980003</v>
      </c>
      <c r="AH15">
        <f t="shared" si="2"/>
        <v>91999.991537675116</v>
      </c>
      <c r="AI15">
        <f t="shared" si="2"/>
        <v>91999.991489358174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Polina Zhdanova</dc:creator>
  <cp:lastModifiedBy>Polina Zhdanova</cp:lastModifiedBy>
  <dcterms:created xsi:type="dcterms:W3CDTF">2015-06-05T18:19:34Z</dcterms:created>
  <dcterms:modified xsi:type="dcterms:W3CDTF">2021-03-21T12:59:45Z</dcterms:modified>
</cp:coreProperties>
</file>